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ing Sheet LKS Linux Environ" sheetId="1" r:id="rId5"/>
    <sheet state="visible" name="Grading" sheetId="2" r:id="rId6"/>
  </sheets>
  <definedNames/>
  <calcPr/>
</workbook>
</file>

<file path=xl/sharedStrings.xml><?xml version="1.0" encoding="utf-8"?>
<sst xmlns="http://schemas.openxmlformats.org/spreadsheetml/2006/main" count="93" uniqueCount="85">
  <si>
    <t>No</t>
  </si>
  <si>
    <t>Nama Peserta</t>
  </si>
  <si>
    <t>P1.1 (8)</t>
  </si>
  <si>
    <t>P1.2 (7)</t>
  </si>
  <si>
    <t>P2.1 (12)</t>
  </si>
  <si>
    <t>P2.2 (13)</t>
  </si>
  <si>
    <t>P3.1 (12)</t>
  </si>
  <si>
    <t>P3.2 (13)</t>
  </si>
  <si>
    <t>P3.3 (5)</t>
  </si>
  <si>
    <t>P4.1 (13)</t>
  </si>
  <si>
    <t>P4.2 (12)</t>
  </si>
  <si>
    <t>P5 (5)</t>
  </si>
  <si>
    <t>Total Core (100)</t>
  </si>
  <si>
    <t>Bonus Ansible (+20)</t>
  </si>
  <si>
    <t>Skor Akhir (Max 120)</t>
  </si>
  <si>
    <t>Peserta 1</t>
  </si>
  <si>
    <t>Peserta 2</t>
  </si>
  <si>
    <t>Peserta 3</t>
  </si>
  <si>
    <t>Peserta 4</t>
  </si>
  <si>
    <t>Peserta 5</t>
  </si>
  <si>
    <t>Peserta 6</t>
  </si>
  <si>
    <t>Peserta 7</t>
  </si>
  <si>
    <t>Peserta 8</t>
  </si>
  <si>
    <t>LEGEND / STRUKTUR PENILAIAN</t>
  </si>
  <si>
    <t>P1.1</t>
  </si>
  <si>
    <t>General Config &amp; CA (8 Poin)</t>
  </si>
  <si>
    <t>P1.2</t>
  </si>
  <si>
    <t>Email Server (7 Poin)</t>
  </si>
  <si>
    <t>P2.1</t>
  </si>
  <si>
    <t>MariaDB Database Server (12 Poin)</t>
  </si>
  <si>
    <t>P2.2</t>
  </si>
  <si>
    <t>File Sharing Services (13 Poin)</t>
  </si>
  <si>
    <t>P3.1</t>
  </si>
  <si>
    <t>DNS Server Primary &amp; Slave (12 Poin)</t>
  </si>
  <si>
    <t>P3.2</t>
  </si>
  <si>
    <t>Web Services &amp; Database Cluster (13 Poin)</t>
  </si>
  <si>
    <t>P3.3</t>
  </si>
  <si>
    <t>Scheduled Backup (5 Poin)</t>
  </si>
  <si>
    <t>P4.1</t>
  </si>
  <si>
    <t>Firewall iptables (13 Poin)</t>
  </si>
  <si>
    <t>P4.2</t>
  </si>
  <si>
    <t>Load Balancer (12 Poin)</t>
  </si>
  <si>
    <t>P5</t>
  </si>
  <si>
    <t>Advanced Automation Challenge (5 Poin)</t>
  </si>
  <si>
    <t>Bonus</t>
  </si>
  <si>
    <t>Optional Automation Challenge (Ansible) (+20 Poin)</t>
  </si>
  <si>
    <t>Rancangan Penilaian Utama (Total Maksimal: 100 Poin)</t>
  </si>
  <si>
    <t>Part 1: Core Infrastructure (Total: 15 Poin)</t>
  </si>
  <si>
    <t>Hostname, /etc/hosts, dan NTP terkonfigurasi di gw, nfs, node1, dan node2.</t>
  </si>
  <si>
    <t>Root CA "Bekasi LKS 2026 CA" berhasil dibuat.</t>
  </si>
  <si>
    <t>Sertifikat *.itnsa.id dan mail.itnsa.id ditandatangani dan disimpan di /etc/ssl/itnsa_ca/.</t>
  </si>
  <si>
    <t>Postfix mendengarkan pada semua interface, Dovecot aktif dengan IMAPS (993) dan SMTP TLS (587).</t>
  </si>
  <si>
    <t>User email_test1 dan email_test2 berhasil dibuat dan berfungsi.</t>
  </si>
  <si>
    <t>Part 2: Database, Storage &amp; File Services (Total: 25 Poin) (+5 Poin dari sebelumnya)</t>
  </si>
  <si>
    <t>MariaDB Database Server (12 Poin) * MariaDB mendengarkan pada IP Publik (bind-address dikonfigurasi).</t>
  </si>
  <si>
    <t>Instalasi diamankan, database app_db dan user db_admin dibuat.</t>
  </si>
  <si>
    <t>Akses MariaDB (port 3306) dibatasi iptables hanya untuk IP Publik Gateway, node1, dan node2.</t>
  </si>
  <si>
    <t>NFS share /srv/web_data diekspor khusus untuk IP node1 dan node2 dengan opsi rw,sync,no_root_squash.</t>
  </si>
  <si>
    <t>Samba [public_data] menunjuk ke /srv/data_public.</t>
  </si>
  <si>
    <t>Layanan FTP (vsftpd) berhasil mengurung (chroot) user file_share ke direktori home-nya.</t>
  </si>
  <si>
    <t>Part 3: Application Nodes &amp; Clustering (Total: 30 Poin) (+5 Poin dari sebelumnya)</t>
  </si>
  <si>
    <t>BIND9 node1 (master) menyimpan file zona di /var/lib/bind/db.itnsa.id.</t>
  </si>
  <si>
    <t>allow-transfer pada master dibatasi hanya untuk IP Publik node2.</t>
  </si>
  <si>
    <t>BIND9 node2 (slave) berhasil menerima update dari node1.</t>
  </si>
  <si>
    <t>NFS nfs.itnsa.id:/srv/web_data di-mount ke /var/www/website menggunakan /etc/fstab dengan opsi hard,intr.</t>
  </si>
  <si>
    <t>Nginx virtual host www.itnsa.id (port 80 &amp; 443) mengarah ke NFS mount.</t>
  </si>
  <si>
    <t>WordPress terinstal di NFS dan berhasil terkoneksi ke MariaDB di Storage Node.</t>
  </si>
  <si>
    <t>Cron job rsync untuk sinkronisasi web berjalan harian pukul 02:00 AM.</t>
  </si>
  <si>
    <t>Cron job backup harian untuk database MariaDB berjalan menggunakan user db_admin.</t>
  </si>
  <si>
    <t>Part 4: Edge Security &amp; Load Balancing (Total: 25 Poin) (+5 Poin dari sebelumnya)</t>
  </si>
  <si>
    <t>Memiliki kebijakan default drop dan hanya mengizinkan port publik esensial (80, 443, 25, 587, 993, 53).</t>
  </si>
  <si>
    <t>Akses internet langsung ke layanan backend (MariaDB/NFS) diblokir, routing hanya diizinkan dari Gateway atau Application Nodes.</t>
  </si>
  <si>
    <t>HAProxy mengonfigurasi HTTP/HTTPS frontend dan backend round robin dengan health checks.</t>
  </si>
  <si>
    <t>TLS termination berhasil diterapkan menggunakan sertifikat CA.</t>
  </si>
  <si>
    <t>Part 5: Advanced Automation Challenge (Total: 5 Poin) (-15 Poin dari sebelumnya)</t>
  </si>
  <si>
    <t>Bulk User Provisioning &amp; PAM Authentication (3 Poin)</t>
  </si>
  <si>
    <t>Skrip berhasil membuat 100 user (user001 - user100) di kedua node dengan grup utama dan sandi yang ditentukan, serta konfigurasi PAM yang ketat.</t>
  </si>
  <si>
    <t>Automated Service Management &amp; Health Check (2 Poin)</t>
  </si>
  <si>
    <t>Skrip 05-services.yml sanggup mengecek status layanan inti di 4 server sekaligus dan mendukung fitur selective restart.</t>
  </si>
  <si>
    <t>NILAI TAMBAHAN / BONUS (Maksimal: +20 Poin)</t>
  </si>
  <si>
    <t>Part 1, Section 2: Optional Automation Challenge (Ansible) (+20 Poin)</t>
  </si>
  <si>
    <t>01-general.yml (+5 Poin): Otomatisasi NTP, hostname, dan /etc/hosts untuk node1, node2, dan nfs.</t>
  </si>
  <si>
    <t>02-users.yml (+5 Poin): Otomatisasi manajemen user masal via variabel.</t>
  </si>
  <si>
    <t>03-dns.yml (+5 Poin): Instalasi BIND9 di node1 &amp; node2 dengan auto-restart jika gagal.</t>
  </si>
  <si>
    <t>04-web.yml (+5 Poin): Instalasi Nginx di Application Nodes dan MariaDB di Storage Node.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</si>
</sst>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i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2">
        <f t="shared" ref="M2:M9" si="1">SUM(C2:L2)</f>
        <v>0</v>
      </c>
      <c r="N2" s="1">
        <v>0.0</v>
      </c>
      <c r="O2" s="2">
        <f t="shared" ref="O2:O9" si="2">M2+N2</f>
        <v>0</v>
      </c>
    </row>
    <row r="3">
      <c r="A3" s="1">
        <v>2.0</v>
      </c>
      <c r="B3" s="1" t="s">
        <v>16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2">
        <f t="shared" si="1"/>
        <v>0</v>
      </c>
      <c r="N3" s="1">
        <v>0.0</v>
      </c>
      <c r="O3" s="2">
        <f t="shared" si="2"/>
        <v>0</v>
      </c>
    </row>
    <row r="4">
      <c r="A4" s="1">
        <v>3.0</v>
      </c>
      <c r="B4" s="1" t="s">
        <v>17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2">
        <f t="shared" si="1"/>
        <v>0</v>
      </c>
      <c r="N4" s="1">
        <v>0.0</v>
      </c>
      <c r="O4" s="2">
        <f t="shared" si="2"/>
        <v>0</v>
      </c>
    </row>
    <row r="5">
      <c r="A5" s="1">
        <v>4.0</v>
      </c>
      <c r="B5" s="1" t="s">
        <v>18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2">
        <f t="shared" si="1"/>
        <v>0</v>
      </c>
      <c r="N5" s="1">
        <v>0.0</v>
      </c>
      <c r="O5" s="2">
        <f t="shared" si="2"/>
        <v>0</v>
      </c>
    </row>
    <row r="6">
      <c r="A6" s="1">
        <v>5.0</v>
      </c>
      <c r="B6" s="1" t="s">
        <v>19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2">
        <f t="shared" si="1"/>
        <v>0</v>
      </c>
      <c r="N6" s="1">
        <v>0.0</v>
      </c>
      <c r="O6" s="2">
        <f t="shared" si="2"/>
        <v>0</v>
      </c>
    </row>
    <row r="7">
      <c r="A7" s="1">
        <v>6.0</v>
      </c>
      <c r="B7" s="1" t="s">
        <v>20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2">
        <f t="shared" si="1"/>
        <v>0</v>
      </c>
      <c r="N7" s="1">
        <v>0.0</v>
      </c>
      <c r="O7" s="2">
        <f t="shared" si="2"/>
        <v>0</v>
      </c>
    </row>
    <row r="8">
      <c r="A8" s="1">
        <v>7.0</v>
      </c>
      <c r="B8" s="1" t="s">
        <v>21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2">
        <f t="shared" si="1"/>
        <v>0</v>
      </c>
      <c r="N8" s="1">
        <v>0.0</v>
      </c>
      <c r="O8" s="2">
        <f t="shared" si="2"/>
        <v>0</v>
      </c>
    </row>
    <row r="9">
      <c r="A9" s="1">
        <v>8.0</v>
      </c>
      <c r="B9" s="1" t="s">
        <v>22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2">
        <f t="shared" si="1"/>
        <v>0</v>
      </c>
      <c r="N9" s="1">
        <v>0.0</v>
      </c>
      <c r="O9" s="2">
        <f t="shared" si="2"/>
        <v>0</v>
      </c>
    </row>
    <row r="11">
      <c r="A11" s="1" t="s">
        <v>23</v>
      </c>
    </row>
    <row r="12">
      <c r="A12" s="1" t="s">
        <v>24</v>
      </c>
      <c r="B12" s="1" t="s">
        <v>25</v>
      </c>
    </row>
    <row r="13">
      <c r="A13" s="1" t="s">
        <v>26</v>
      </c>
      <c r="B13" s="1" t="s">
        <v>27</v>
      </c>
    </row>
    <row r="14">
      <c r="A14" s="1" t="s">
        <v>28</v>
      </c>
      <c r="B14" s="1" t="s">
        <v>29</v>
      </c>
    </row>
    <row r="15">
      <c r="A15" s="1" t="s">
        <v>30</v>
      </c>
      <c r="B15" s="1" t="s">
        <v>31</v>
      </c>
    </row>
    <row r="16">
      <c r="A16" s="1" t="s">
        <v>32</v>
      </c>
      <c r="B16" s="1" t="s">
        <v>33</v>
      </c>
    </row>
    <row r="17">
      <c r="A17" s="1" t="s">
        <v>34</v>
      </c>
      <c r="B17" s="1" t="s">
        <v>35</v>
      </c>
    </row>
    <row r="18">
      <c r="A18" s="1" t="s">
        <v>36</v>
      </c>
      <c r="B18" s="1" t="s">
        <v>37</v>
      </c>
    </row>
    <row r="19">
      <c r="A19" s="1" t="s">
        <v>38</v>
      </c>
      <c r="B19" s="1" t="s">
        <v>39</v>
      </c>
    </row>
    <row r="20">
      <c r="A20" s="1" t="s">
        <v>40</v>
      </c>
      <c r="B20" s="1" t="s">
        <v>41</v>
      </c>
    </row>
    <row r="21">
      <c r="A21" s="1" t="s">
        <v>42</v>
      </c>
      <c r="B21" s="1" t="s">
        <v>43</v>
      </c>
    </row>
    <row r="22">
      <c r="A22" s="1" t="s">
        <v>44</v>
      </c>
      <c r="B22" s="1" t="s">
        <v>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46</v>
      </c>
    </row>
    <row r="2">
      <c r="A2" s="4" t="s">
        <v>47</v>
      </c>
    </row>
    <row r="3">
      <c r="A3" s="5"/>
    </row>
    <row r="4">
      <c r="A4" s="4" t="s">
        <v>25</v>
      </c>
    </row>
    <row r="5">
      <c r="A5" s="5"/>
    </row>
    <row r="6">
      <c r="A6" s="4" t="s">
        <v>48</v>
      </c>
    </row>
    <row r="7">
      <c r="A7" s="5"/>
    </row>
    <row r="8">
      <c r="A8" s="4" t="s">
        <v>49</v>
      </c>
    </row>
    <row r="9">
      <c r="A9" s="5"/>
    </row>
    <row r="10">
      <c r="A10" s="4" t="s">
        <v>50</v>
      </c>
    </row>
    <row r="11">
      <c r="A11" s="5"/>
    </row>
    <row r="12">
      <c r="A12" s="4" t="s">
        <v>27</v>
      </c>
    </row>
    <row r="13">
      <c r="A13" s="5"/>
    </row>
    <row r="14">
      <c r="A14" s="6" t="s">
        <v>51</v>
      </c>
    </row>
    <row r="15">
      <c r="A15" s="7"/>
    </row>
    <row r="16">
      <c r="A16" s="6" t="s">
        <v>52</v>
      </c>
    </row>
    <row r="17">
      <c r="A17" s="6" t="s">
        <v>53</v>
      </c>
    </row>
    <row r="18">
      <c r="A18" s="7"/>
    </row>
    <row r="19">
      <c r="A19" s="6" t="s">
        <v>54</v>
      </c>
    </row>
    <row r="20">
      <c r="A20" s="7"/>
    </row>
    <row r="21">
      <c r="A21" s="6" t="s">
        <v>55</v>
      </c>
    </row>
    <row r="22">
      <c r="A22" s="7"/>
    </row>
    <row r="23">
      <c r="A23" s="6" t="s">
        <v>56</v>
      </c>
    </row>
    <row r="24">
      <c r="A24" s="7"/>
    </row>
    <row r="25">
      <c r="A25" s="6" t="s">
        <v>31</v>
      </c>
    </row>
    <row r="26">
      <c r="A26" s="7"/>
    </row>
    <row r="27">
      <c r="A27" s="6" t="s">
        <v>57</v>
      </c>
    </row>
    <row r="28">
      <c r="A28" s="7"/>
    </row>
    <row r="29">
      <c r="A29" s="6" t="s">
        <v>58</v>
      </c>
    </row>
    <row r="30">
      <c r="A30" s="7"/>
    </row>
    <row r="31">
      <c r="A31" s="6" t="s">
        <v>59</v>
      </c>
    </row>
    <row r="32">
      <c r="A32" s="6" t="s">
        <v>60</v>
      </c>
    </row>
    <row r="33">
      <c r="A33" s="7"/>
    </row>
    <row r="34">
      <c r="A34" s="6" t="s">
        <v>33</v>
      </c>
    </row>
    <row r="35">
      <c r="A35" s="7"/>
    </row>
    <row r="36">
      <c r="A36" s="6" t="s">
        <v>61</v>
      </c>
    </row>
    <row r="37">
      <c r="A37" s="7"/>
    </row>
    <row r="38">
      <c r="A38" s="6" t="s">
        <v>62</v>
      </c>
    </row>
    <row r="39">
      <c r="A39" s="7"/>
    </row>
    <row r="40">
      <c r="A40" s="6" t="s">
        <v>63</v>
      </c>
    </row>
    <row r="41">
      <c r="A41" s="7"/>
    </row>
    <row r="42">
      <c r="A42" s="6" t="s">
        <v>35</v>
      </c>
    </row>
    <row r="43">
      <c r="A43" s="7"/>
    </row>
    <row r="44">
      <c r="A44" s="6" t="s">
        <v>64</v>
      </c>
    </row>
    <row r="45">
      <c r="A45" s="7"/>
    </row>
    <row r="46">
      <c r="A46" s="6" t="s">
        <v>65</v>
      </c>
    </row>
    <row r="47">
      <c r="A47" s="7"/>
    </row>
    <row r="48">
      <c r="A48" s="6" t="s">
        <v>66</v>
      </c>
    </row>
    <row r="49">
      <c r="A49" s="7"/>
    </row>
    <row r="50">
      <c r="A50" s="6" t="s">
        <v>37</v>
      </c>
    </row>
    <row r="51">
      <c r="A51" s="7"/>
    </row>
    <row r="52">
      <c r="A52" s="6" t="s">
        <v>67</v>
      </c>
    </row>
    <row r="53">
      <c r="A53" s="7"/>
    </row>
    <row r="54">
      <c r="A54" s="6" t="s">
        <v>68</v>
      </c>
    </row>
    <row r="55">
      <c r="A55" s="6" t="s">
        <v>69</v>
      </c>
    </row>
    <row r="56">
      <c r="A56" s="7"/>
    </row>
    <row r="57">
      <c r="A57" s="6" t="s">
        <v>39</v>
      </c>
    </row>
    <row r="58">
      <c r="A58" s="7"/>
    </row>
    <row r="59">
      <c r="A59" s="6" t="s">
        <v>70</v>
      </c>
    </row>
    <row r="60">
      <c r="A60" s="7"/>
    </row>
    <row r="61">
      <c r="A61" s="6" t="s">
        <v>71</v>
      </c>
    </row>
    <row r="62">
      <c r="A62" s="7"/>
    </row>
    <row r="63">
      <c r="A63" s="6" t="s">
        <v>41</v>
      </c>
    </row>
    <row r="64">
      <c r="A64" s="7"/>
    </row>
    <row r="65">
      <c r="A65" s="6" t="s">
        <v>72</v>
      </c>
    </row>
    <row r="66">
      <c r="A66" s="7"/>
    </row>
    <row r="67">
      <c r="A67" s="6" t="s">
        <v>73</v>
      </c>
    </row>
    <row r="68">
      <c r="A68" s="6" t="s">
        <v>74</v>
      </c>
    </row>
    <row r="69">
      <c r="A69" s="7"/>
    </row>
    <row r="70">
      <c r="A70" s="6" t="s">
        <v>75</v>
      </c>
    </row>
    <row r="71">
      <c r="A71" s="7"/>
    </row>
    <row r="72">
      <c r="A72" s="6" t="s">
        <v>76</v>
      </c>
    </row>
    <row r="73">
      <c r="A73" s="7"/>
    </row>
    <row r="74">
      <c r="A74" s="6" t="s">
        <v>77</v>
      </c>
    </row>
    <row r="75">
      <c r="A75" s="7"/>
    </row>
    <row r="76">
      <c r="A76" s="6" t="s">
        <v>78</v>
      </c>
    </row>
    <row r="77">
      <c r="A77" s="8" t="s">
        <v>79</v>
      </c>
    </row>
    <row r="78">
      <c r="A78" s="6" t="s">
        <v>80</v>
      </c>
    </row>
    <row r="79">
      <c r="A79" s="7"/>
    </row>
    <row r="80">
      <c r="A80" s="6" t="s">
        <v>81</v>
      </c>
    </row>
    <row r="81">
      <c r="A81" s="7"/>
    </row>
    <row r="82">
      <c r="A82" s="6" t="s">
        <v>82</v>
      </c>
    </row>
    <row r="83">
      <c r="A83" s="7"/>
    </row>
    <row r="84">
      <c r="A84" s="6" t="s">
        <v>83</v>
      </c>
    </row>
    <row r="85">
      <c r="A85" s="7"/>
    </row>
    <row r="86">
      <c r="A86" s="6" t="s">
        <v>84</v>
      </c>
    </row>
  </sheetData>
  <drawing r:id="rId1"/>
</worksheet>
</file>